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la Ley\Documents\GitHub\Physics-Obsidian-Vault\"/>
    </mc:Choice>
  </mc:AlternateContent>
  <xr:revisionPtr revIDLastSave="0" documentId="13_ncr:1_{E833A617-2C89-41B3-8661-0ECC28A73C6D}" xr6:coauthVersionLast="47" xr6:coauthVersionMax="47" xr10:uidLastSave="{00000000-0000-0000-0000-000000000000}"/>
  <bookViews>
    <workbookView xWindow="-108" yWindow="-108" windowWidth="23256" windowHeight="12576" xr2:uid="{0D96D18F-8C02-4A2A-A986-9C612F0FB5E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C3" i="1"/>
  <c r="C4" i="1" s="1"/>
  <c r="C5" i="1" s="1"/>
  <c r="C6" i="1" s="1"/>
  <c r="C7" i="1" s="1"/>
  <c r="C8" i="1" s="1"/>
  <c r="C9" i="1" s="1"/>
  <c r="C10" i="1" s="1"/>
  <c r="C11" i="1" s="1"/>
  <c r="C12" i="1" s="1"/>
  <c r="K4" i="1"/>
  <c r="F13" i="1"/>
  <c r="G13" i="1"/>
  <c r="G12" i="1"/>
  <c r="I4" i="1" l="1"/>
</calcChain>
</file>

<file path=xl/sharedStrings.xml><?xml version="1.0" encoding="utf-8"?>
<sst xmlns="http://schemas.openxmlformats.org/spreadsheetml/2006/main" count="21" uniqueCount="21">
  <si>
    <t>Velocity(m/s)</t>
  </si>
  <si>
    <t>Total Distance Traveled</t>
  </si>
  <si>
    <t>Time</t>
  </si>
  <si>
    <t>Distance From Origin(cm)</t>
  </si>
  <si>
    <t>0-1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</si>
  <si>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</si>
  <si>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</si>
  <si>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</si>
  <si>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</si>
  <si>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</si>
  <si>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</si>
  <si>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</si>
  <si>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</si>
  <si>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</si>
  <si>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</si>
  <si>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Sum of Measurements:</t>
  </si>
  <si>
    <t>Distance Measured on Meter Stick</t>
  </si>
  <si>
    <t>PointNum</t>
  </si>
  <si>
    <t>Pair_of_Dots</t>
  </si>
  <si>
    <t>Distance_Between_Points</t>
  </si>
  <si>
    <t>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</si>
</sst>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7361D-0014-4CF5-996B-0713F54085A9}">
  <sheetPr codeName="Sheet1"/>
  <dimension ref="A1:K14"/>
  <sheetViews>
    <sheetView tabSelected="1" workbookViewId="0">
      <selection activeCell="D6" sqref="D6"/>
    </sheetView>
  </sheetViews>
  <sheetFormatPr defaultRowHeight="14.4" x14ac:dyDescent="0.3"/>
  <cols>
    <col min="3" max="4" width="21.33203125" customWidth="1"/>
    <col min="5" max="5" width="28.6640625" style="1" customWidth="1"/>
    <col min="6" max="6" width="21" customWidth="1"/>
    <col min="9" max="9" width="13.109375" customWidth="1"/>
    <col min="11" max="11" width="19.88671875" customWidth="1"/>
  </cols>
  <sheetData>
    <row r="1" spans="1:11" x14ac:dyDescent="0.3">
      <c r="A1" t="s">
        <v>17</v>
      </c>
      <c r="B1" t="s">
        <v>2</v>
      </c>
      <c r="C1" t="s">
        <v>3</v>
      </c>
      <c r="D1" t="s">
        <v>20</v>
      </c>
      <c r="E1" s="1" t="s">
        <v>18</v>
      </c>
      <c r="F1" t="s">
        <v>19</v>
      </c>
    </row>
    <row r="2" spans="1:11" x14ac:dyDescent="0.3">
      <c r="A2">
        <v>0</v>
      </c>
      <c r="B2">
        <v>1.6666666666666666E-2</v>
      </c>
      <c r="C2">
        <v>3.32</v>
      </c>
      <c r="E2" s="1" t="s">
        <v>4</v>
      </c>
      <c r="F2">
        <v>3.23</v>
      </c>
    </row>
    <row r="3" spans="1:11" x14ac:dyDescent="0.3">
      <c r="A3">
        <v>1</v>
      </c>
      <c r="B3">
        <v>3.333333333333334E-2</v>
      </c>
      <c r="C3">
        <f>F2+F3</f>
        <v>6.73</v>
      </c>
      <c r="D3">
        <f>(C4-C2)/((A4-A2)/60)</f>
        <v>216.60000000000002</v>
      </c>
      <c r="E3" s="1" t="s">
        <v>5</v>
      </c>
      <c r="F3">
        <v>3.5</v>
      </c>
      <c r="I3" t="s">
        <v>0</v>
      </c>
      <c r="K3" t="s">
        <v>1</v>
      </c>
    </row>
    <row r="4" spans="1:11" x14ac:dyDescent="0.3">
      <c r="A4">
        <v>2</v>
      </c>
      <c r="B4">
        <v>5.000000000000001E-2</v>
      </c>
      <c r="C4">
        <f>C3+F4</f>
        <v>10.540000000000001</v>
      </c>
      <c r="D4">
        <f>(C5-C3)/((A5-A3)/60)</f>
        <v>237.9</v>
      </c>
      <c r="E4" s="1" t="s">
        <v>6</v>
      </c>
      <c r="F4">
        <v>3.81</v>
      </c>
      <c r="I4">
        <f>((G12-G13)*30)/100</f>
        <v>3.7949999999999995</v>
      </c>
      <c r="K4">
        <f>SUM(F2:F12)</f>
        <v>50.730000000000004</v>
      </c>
    </row>
    <row r="5" spans="1:11" x14ac:dyDescent="0.3">
      <c r="A5">
        <v>3</v>
      </c>
      <c r="B5">
        <v>6.666666666666668E-2</v>
      </c>
      <c r="C5">
        <f t="shared" ref="C5:C12" si="0">C4+F5</f>
        <v>14.66</v>
      </c>
      <c r="D5">
        <f>(C6-C4)/((A6-A4)/60)</f>
        <v>254.99999999999994</v>
      </c>
      <c r="E5" s="1" t="s">
        <v>7</v>
      </c>
      <c r="F5">
        <v>4.12</v>
      </c>
    </row>
    <row r="6" spans="1:11" x14ac:dyDescent="0.3">
      <c r="A6">
        <v>4</v>
      </c>
      <c r="B6">
        <v>8.333333333333337E-2</v>
      </c>
      <c r="C6">
        <f t="shared" si="0"/>
        <v>19.04</v>
      </c>
      <c r="E6" s="1" t="s">
        <v>8</v>
      </c>
      <c r="F6">
        <v>4.38</v>
      </c>
    </row>
    <row r="7" spans="1:11" x14ac:dyDescent="0.3">
      <c r="A7">
        <v>5</v>
      </c>
      <c r="B7">
        <v>0.10000000000000003</v>
      </c>
      <c r="C7">
        <f t="shared" si="0"/>
        <v>23.689999999999998</v>
      </c>
      <c r="E7" s="1" t="s">
        <v>9</v>
      </c>
      <c r="F7">
        <v>4.6500000000000004</v>
      </c>
    </row>
    <row r="8" spans="1:11" x14ac:dyDescent="0.3">
      <c r="A8">
        <v>6</v>
      </c>
      <c r="B8">
        <v>0.1166666666666667</v>
      </c>
      <c r="C8">
        <f t="shared" si="0"/>
        <v>28.529999999999998</v>
      </c>
      <c r="E8" s="1" t="s">
        <v>10</v>
      </c>
      <c r="F8">
        <v>4.84</v>
      </c>
    </row>
    <row r="9" spans="1:11" x14ac:dyDescent="0.3">
      <c r="A9">
        <v>7</v>
      </c>
      <c r="B9">
        <v>0.13333333333333339</v>
      </c>
      <c r="C9">
        <f t="shared" si="0"/>
        <v>33.68</v>
      </c>
      <c r="E9" s="1" t="s">
        <v>11</v>
      </c>
      <c r="F9">
        <v>5.15</v>
      </c>
    </row>
    <row r="10" spans="1:11" x14ac:dyDescent="0.3">
      <c r="A10">
        <v>8</v>
      </c>
      <c r="B10">
        <v>0.15000000000000005</v>
      </c>
      <c r="C10">
        <f t="shared" si="0"/>
        <v>39.130000000000003</v>
      </c>
      <c r="E10" s="1" t="s">
        <v>12</v>
      </c>
      <c r="F10">
        <v>5.45</v>
      </c>
    </row>
    <row r="11" spans="1:11" x14ac:dyDescent="0.3">
      <c r="A11">
        <v>9</v>
      </c>
      <c r="B11">
        <v>0.16666666666666674</v>
      </c>
      <c r="C11">
        <f t="shared" si="0"/>
        <v>44.88</v>
      </c>
      <c r="E11" s="1" t="s">
        <v>13</v>
      </c>
      <c r="F11">
        <v>5.75</v>
      </c>
    </row>
    <row r="12" spans="1:11" x14ac:dyDescent="0.3">
      <c r="A12">
        <v>10</v>
      </c>
      <c r="B12">
        <v>0.1833333333333334</v>
      </c>
      <c r="C12">
        <f t="shared" si="0"/>
        <v>50.730000000000004</v>
      </c>
      <c r="E12" s="1" t="s">
        <v>14</v>
      </c>
      <c r="F12">
        <v>5.85</v>
      </c>
      <c r="G12">
        <f>SUM(F7:F12)</f>
        <v>31.689999999999998</v>
      </c>
    </row>
    <row r="13" spans="1:11" x14ac:dyDescent="0.3">
      <c r="E13" s="1" t="s">
        <v>15</v>
      </c>
      <c r="F13">
        <f>SUM(F2:F12)</f>
        <v>50.730000000000004</v>
      </c>
      <c r="G13">
        <f>SUM(F2:F6)</f>
        <v>19.04</v>
      </c>
    </row>
    <row r="14" spans="1:11" x14ac:dyDescent="0.3">
      <c r="E14" s="1" t="s">
        <v>16</v>
      </c>
      <c r="F14">
        <v>50.2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RobertLey</dc:creator>
  <cp:lastModifiedBy>Ethan RobertLey</cp:lastModifiedBy>
  <dcterms:created xsi:type="dcterms:W3CDTF">2023-09-13T20:14:25Z</dcterms:created>
  <dcterms:modified xsi:type="dcterms:W3CDTF">2023-09-18T19:58:22Z</dcterms:modified>
</cp:coreProperties>
</file>